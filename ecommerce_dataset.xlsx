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hidePivotFieldList="1" defaultThemeVersion="166925"/>
  <xr:revisionPtr revIDLastSave="526" documentId="11_E60897F41BE170836B02CE998F75CCDC64E183C8" xr6:coauthVersionLast="47" xr6:coauthVersionMax="47" xr10:uidLastSave="{7CD47245-AD6C-45DE-952E-FEA5981341B8}"/>
  <bookViews>
    <workbookView xWindow="240" yWindow="105" windowWidth="14805" windowHeight="8010" firstSheet="1" activeTab="1" xr2:uid="{00000000-000D-0000-FFFF-FFFF00000000}"/>
  </bookViews>
  <sheets>
    <sheet name="Raw&amp;Processed Data" sheetId="3" r:id="rId1"/>
    <sheet name="Ecommerce_Dashboard" sheetId="2" r:id="rId2"/>
  </sheets>
  <externalReferences>
    <externalReference r:id="rId3"/>
  </externalReferences>
  <definedNames>
    <definedName name="Slicer_Payment_Method">#N/A</definedName>
  </definedNames>
  <calcPr calcId="191028"/>
  <pivotCaches>
    <pivotCache cacheId="5981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<sst xmlns="http://schemas.openxmlformats.org/spreadsheetml/2006/main" count="83" uniqueCount="36">
  <si>
    <t>Total_revenue</t>
  </si>
  <si>
    <t>Average_order_value</t>
  </si>
  <si>
    <t>Total_orders</t>
  </si>
  <si>
    <t>Category</t>
  </si>
  <si>
    <t>Revenue</t>
  </si>
  <si>
    <t>Clothing</t>
  </si>
  <si>
    <t>Books</t>
  </si>
  <si>
    <t>Home &amp; Kitchen</t>
  </si>
  <si>
    <t>Sports</t>
  </si>
  <si>
    <t>Toys</t>
  </si>
  <si>
    <t>Beauty</t>
  </si>
  <si>
    <t>Electronics</t>
  </si>
  <si>
    <t>Payment_Method</t>
  </si>
  <si>
    <t>Credit Card</t>
  </si>
  <si>
    <t>UPI</t>
  </si>
  <si>
    <t>Debit Card</t>
  </si>
  <si>
    <t>Net Banking</t>
  </si>
  <si>
    <t>Cash on Delivery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</si>
  <si>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</si>
  <si>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</si>
  <si>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</si>
  <si>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</si>
  <si>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</si>
  <si>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</si>
  <si>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</si>
  <si>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</si>
  <si>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</si>
  <si>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</si>
  <si>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</si>
  <si>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</si>
  <si>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Sum of Revenue</t>
  </si>
  <si>
    <t>Grand Total</t>
  </si>
  <si>
    <t>E-commerce Dashboard</t>
  </si>
  <si>
    <t>Monthly Revenue:</t>
  </si>
  <si>
    <t>Revenue by Category:</t>
  </si>
  <si>
    <t>Payment method: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</si>
</sst>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</font>
    <font>
      <b/>
      <sz val="14"/>
      <color theme="1"/>
      <name val="Calibri"/>
      <family val="2"/>
      <scheme val="minor"/>
    </font>
    <font>
      <b/>
      <sz val="12"/>
      <color theme="1"/>
      <name val="Calibri"/>
    </font>
    <font>
      <b/>
      <sz val="12"/>
      <color theme="1"/>
      <name val="Calibri"/>
      <family val="2"/>
      <scheme val="minor"/>
    </font>
    <font>
      <sz val="18"/>
      <color rgb="FF000000"/>
      <name val="Calibri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</font>
    <font>
      <b/>
      <u/>
      <sz val="24"/>
      <color rgb="FF000000"/>
      <name val="Calibri"/>
      <scheme val="minor"/>
    </font>
    <font>
      <b/>
      <sz val="10"/>
      <color theme="1"/>
      <name val="Calibri"/>
      <family val="2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165" fontId="1" fillId="0" borderId="4" xfId="0" applyNumberFormat="1" applyFont="1" applyBorder="1"/>
    <xf numFmtId="165" fontId="1" fillId="0" borderId="5" xfId="0" applyNumberFormat="1" applyFont="1" applyBorder="1"/>
    <xf numFmtId="0" fontId="1" fillId="0" borderId="4" xfId="0" applyFont="1" applyBorder="1"/>
    <xf numFmtId="0" fontId="1" fillId="0" borderId="5" xfId="0" applyFont="1" applyBorder="1"/>
    <xf numFmtId="165" fontId="3" fillId="2" borderId="1" xfId="0" applyNumberFormat="1" applyFont="1" applyFill="1" applyBorder="1"/>
    <xf numFmtId="165" fontId="4" fillId="3" borderId="1" xfId="0" applyNumberFormat="1" applyFont="1" applyFill="1" applyBorder="1"/>
    <xf numFmtId="165" fontId="5" fillId="0" borderId="1" xfId="0" applyNumberFormat="1" applyFont="1" applyBorder="1"/>
    <xf numFmtId="165" fontId="4" fillId="4" borderId="1" xfId="0" applyNumberFormat="1" applyFont="1" applyFill="1" applyBorder="1"/>
    <xf numFmtId="0" fontId="5" fillId="0" borderId="1" xfId="0" applyFont="1" applyBorder="1"/>
    <xf numFmtId="0" fontId="4" fillId="5" borderId="1" xfId="0" applyFont="1" applyFill="1" applyBorder="1"/>
    <xf numFmtId="165" fontId="2" fillId="2" borderId="2" xfId="0" applyNumberFormat="1" applyFont="1" applyFill="1" applyBorder="1"/>
    <xf numFmtId="165" fontId="2" fillId="2" borderId="3" xfId="0" applyNumberFormat="1" applyFont="1" applyFill="1" applyBorder="1"/>
    <xf numFmtId="165" fontId="2" fillId="2" borderId="6" xfId="0" applyNumberFormat="1" applyFont="1" applyFill="1" applyBorder="1"/>
    <xf numFmtId="165" fontId="2" fillId="2" borderId="7" xfId="0" applyNumberFormat="1" applyFont="1" applyFill="1" applyBorder="1"/>
    <xf numFmtId="0" fontId="7" fillId="0" borderId="0" xfId="0" applyFont="1"/>
    <xf numFmtId="0" fontId="7" fillId="0" borderId="0" xfId="0" applyFont="1" applyBorder="1"/>
    <xf numFmtId="0" fontId="6" fillId="0" borderId="8" xfId="0" applyFont="1" applyBorder="1"/>
    <xf numFmtId="0" fontId="6" fillId="0" borderId="0" xfId="0" applyFont="1" applyBorder="1"/>
    <xf numFmtId="165" fontId="8" fillId="2" borderId="1" xfId="0" applyNumberFormat="1" applyFont="1" applyFill="1" applyBorder="1"/>
    <xf numFmtId="165" fontId="9" fillId="3" borderId="1" xfId="0" applyNumberFormat="1" applyFont="1" applyFill="1" applyBorder="1"/>
    <xf numFmtId="0" fontId="8" fillId="0" borderId="1" xfId="0" applyFont="1" applyBorder="1"/>
    <xf numFmtId="0" fontId="9" fillId="5" borderId="1" xfId="0" applyFont="1" applyFill="1" applyBorder="1"/>
    <xf numFmtId="165" fontId="8" fillId="0" borderId="1" xfId="0" applyNumberFormat="1" applyFont="1" applyBorder="1"/>
    <xf numFmtId="165" fontId="9" fillId="4" borderId="1" xfId="0" applyNumberFormat="1" applyFont="1" applyFill="1" applyBorder="1"/>
    <xf numFmtId="165" fontId="11" fillId="2" borderId="1" xfId="0" applyNumberFormat="1" applyFont="1" applyFill="1" applyBorder="1"/>
    <xf numFmtId="0" fontId="0" fillId="6" borderId="0" xfId="0" applyFill="1"/>
    <xf numFmtId="0" fontId="12" fillId="0" borderId="0" xfId="0" applyFont="1"/>
    <xf numFmtId="0" fontId="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0" xfId="0" applyBorder="1"/>
    <xf numFmtId="0" fontId="0" fillId="0" borderId="0" xfId="0" applyAlignment="1">
      <alignment horizontal="center" vertical="center"/>
    </xf>
    <xf numFmtId="165" fontId="0" fillId="0" borderId="0" xfId="0" applyNumberFormat="1"/>
    <xf numFmtId="0" fontId="0" fillId="0" borderId="0" xfId="0" pivotButton="1"/>
    <xf numFmtId="165" fontId="13" fillId="7" borderId="7" xfId="0" applyNumberFormat="1" applyFont="1" applyFill="1" applyBorder="1"/>
    <xf numFmtId="165" fontId="13" fillId="7" borderId="10" xfId="0" applyNumberFormat="1" applyFont="1" applyFill="1" applyBorder="1"/>
    <xf numFmtId="165" fontId="11" fillId="2" borderId="7" xfId="0" applyNumberFormat="1" applyFont="1" applyFill="1" applyBorder="1"/>
    <xf numFmtId="165" fontId="11" fillId="2" borderId="10" xfId="0" applyNumberFormat="1" applyFont="1" applyFill="1" applyBorder="1"/>
    <xf numFmtId="165" fontId="11" fillId="2" borderId="3" xfId="0" applyNumberFormat="1" applyFont="1" applyFill="1" applyBorder="1"/>
    <xf numFmtId="165" fontId="13" fillId="7" borderId="8" xfId="0" applyNumberFormat="1" applyFont="1" applyFill="1" applyBorder="1"/>
    <xf numFmtId="165" fontId="11" fillId="2" borderId="9" xfId="0" applyNumberFormat="1" applyFont="1" applyFill="1" applyBorder="1"/>
    <xf numFmtId="0" fontId="13" fillId="7" borderId="0" xfId="0" applyFont="1" applyFill="1" applyBorder="1"/>
    <xf numFmtId="0" fontId="13" fillId="7" borderId="8" xfId="0" applyFont="1" applyFill="1" applyBorder="1"/>
    <xf numFmtId="165" fontId="13" fillId="7" borderId="0" xfId="0" applyNumberFormat="1" applyFont="1" applyFill="1" applyBorder="1"/>
    <xf numFmtId="0" fontId="10" fillId="0" borderId="0" xfId="0" applyFont="1" applyAlignment="1">
      <alignment horizontal="center" vertical="center"/>
    </xf>
    <xf numFmtId="0" fontId="0" fillId="0" borderId="11" xfId="0" pivotButton="1" applyFont="1" applyBorder="1"/>
    <xf numFmtId="0" fontId="0" fillId="0" borderId="12" xfId="0" applyFont="1" applyBorder="1"/>
    <xf numFmtId="0" fontId="0" fillId="0" borderId="15" xfId="0" applyFont="1" applyBorder="1"/>
    <xf numFmtId="165" fontId="0" fillId="0" borderId="16" xfId="0" applyNumberFormat="1" applyFont="1" applyBorder="1"/>
    <xf numFmtId="0" fontId="14" fillId="0" borderId="13" xfId="0" applyFont="1" applyBorder="1"/>
    <xf numFmtId="165" fontId="14" fillId="0" borderId="14" xfId="0" applyNumberFormat="1" applyFont="1" applyBorder="1"/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  <name val="Calibri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color theme="1"/>
        <name val="Calibri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_-[$$-409]* #,##0.00_ ;_-[$$-409]* \-#,##0.00\ ;_-[$$-409]* &quot;-&quot;??_ ;_-@_ 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2"/>
      </font>
    </dxf>
    <dxf>
      <font>
        <sz val="12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'Raw&amp;Processed Data'!$B$22</c:f>
              <c:strCache>
                <c:ptCount val="1"/>
                <c:pt idx="0">
                  <c:v> 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'Raw&amp;Processed Data'!$A$23:$A$27</c:f>
              <c:strCache>
                <c:ptCount val="5"/>
                <c:pt idx="0">
                  <c:v> Credit Card </c:v>
                </c:pt>
                <c:pt idx="1">
                  <c:v> UPI </c:v>
                </c:pt>
                <c:pt idx="2">
                  <c:v> Debit Card </c:v>
                </c:pt>
                <c:pt idx="3">
                  <c:v> Net Banking </c:v>
                </c:pt>
                <c:pt idx="4">
                  <c:v> Cash on Delivery </c:v>
                </c:pt>
              </c:strCache>
            </c:strRef>
          </c:cat>
          <c:val>
            <c:numRef>
              <c:f>'Raw&amp;Processed Data'!$B$23:$B$27</c:f>
              <c:numCache>
                <c:formatCode>_-[$$-409]* #,##0.00_ ;_-[$$-409]* \-#,##0.00\ ;_-[$$-409]* "-"??_ ;_-@_ </c:formatCode>
                <c:ptCount val="5"/>
                <c:pt idx="0">
                  <c:v>156017.96900000001</c:v>
                </c:pt>
                <c:pt idx="1">
                  <c:v>154684.91949999999</c:v>
                </c:pt>
                <c:pt idx="2">
                  <c:v>153362.1985</c:v>
                </c:pt>
                <c:pt idx="3">
                  <c:v>146804.41</c:v>
                </c:pt>
                <c:pt idx="4">
                  <c:v>146408.56899999999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F-44E3-BE12-A89E8594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'Raw&amp;Processed Data'!$B$5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'Raw&amp;Processed Data'!$A$6:$A$12</c:f>
              <c:strCache>
                <c:ptCount val="7"/>
                <c:pt idx="0">
                  <c:v> Clothing </c:v>
                </c:pt>
                <c:pt idx="1">
                  <c:v> Books </c:v>
                </c:pt>
                <c:pt idx="2">
                  <c:v> Home &amp; Kitchen </c:v>
                </c:pt>
                <c:pt idx="3">
                  <c:v> Sports </c:v>
                </c:pt>
                <c:pt idx="4">
                  <c:v> Toys </c:v>
                </c:pt>
                <c:pt idx="5">
                  <c:v> Beauty </c:v>
                </c:pt>
                <c:pt idx="6">
                  <c:v> Electronics </c:v>
                </c:pt>
              </c:strCache>
            </c:strRef>
          </c:cat>
          <c:val>
            <c:numRef>
              <c:f>'Raw&amp;Processed Data'!$B$6:$B$12</c:f>
              <c:numCache>
                <c:formatCode>_-[$$-409]* #,##0.00_ ;_-[$$-409]* \-#,##0.00\ ;_-[$$-409]* "-"??_ ;_-@_ </c:formatCode>
                <c:ptCount val="7"/>
                <c:pt idx="0">
                  <c:v>115314.7595</c:v>
                </c:pt>
                <c:pt idx="1">
                  <c:v>111149.2515</c:v>
                </c:pt>
                <c:pt idx="2">
                  <c:v>110328.178</c:v>
                </c:pt>
                <c:pt idx="3">
                  <c:v>108518.753</c:v>
                </c:pt>
                <c:pt idx="4">
                  <c:v>107289.84299999999</c:v>
                </c:pt>
                <c:pt idx="5">
                  <c:v>104215.07550000001</c:v>
                </c:pt>
                <c:pt idx="6">
                  <c:v>100462.2055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1-4DC6-8FD5-4CCED8052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3794823"/>
        <c:axId val="2133797895"/>
      </c:barChart>
      <c:catAx>
        <c:axId val="2133794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97895"/>
        <c:crosses val="autoZero"/>
        <c:auto val="1"/>
        <c:lblAlgn val="ctr"/>
        <c:lblOffset val="100"/>
        <c:noMultiLvlLbl val="0"/>
      </c:catAx>
      <c:valAx>
        <c:axId val="213379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94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'Raw&amp;Processed Data'!$B$40</c:f>
              <c:strCache>
                <c:ptCount val="1"/>
                <c:pt idx="0">
                  <c:v> 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'Raw&amp;Processed Data'!$A$41:$A$51</c:f>
              <c:strCache>
                <c:ptCount val="11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</c:strCache>
            </c:strRef>
          </c:cat>
          <c:val>
            <c:numRef>
              <c:f>'Raw&amp;Processed Data'!$B$41:$B$51</c:f>
              <c:numCache>
                <c:formatCode>_-[$$-409]* #,##0.00_ ;_-[$$-409]* \-#,##0.00\ ;_-[$$-409]* "-"??_ ;_-@_ </c:formatCode>
                <c:ptCount val="11"/>
                <c:pt idx="0">
                  <c:v>69009.513500000001</c:v>
                </c:pt>
                <c:pt idx="1">
                  <c:v>69186.28</c:v>
                </c:pt>
                <c:pt idx="2">
                  <c:v>71325.365000000005</c:v>
                </c:pt>
                <c:pt idx="3">
                  <c:v>74365.19</c:v>
                </c:pt>
                <c:pt idx="4">
                  <c:v>68837.241999999998</c:v>
                </c:pt>
                <c:pt idx="5">
                  <c:v>64256.620499999997</c:v>
                </c:pt>
                <c:pt idx="6">
                  <c:v>72798.243000000002</c:v>
                </c:pt>
                <c:pt idx="7">
                  <c:v>71506.947499999995</c:v>
                </c:pt>
                <c:pt idx="8">
                  <c:v>68043.088000000003</c:v>
                </c:pt>
                <c:pt idx="9">
                  <c:v>76034.555999999997</c:v>
                </c:pt>
                <c:pt idx="10">
                  <c:v>51915.020499999999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B-4ADD-8A74-873DA9432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2520"/>
        <c:axId val="12674568"/>
      </c:lineChart>
      <c:catAx>
        <c:axId val="1267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568"/>
        <c:crosses val="autoZero"/>
        <c:auto val="1"/>
        <c:lblAlgn val="ctr"/>
        <c:lblOffset val="100"/>
        <c:noMultiLvlLbl val="0"/>
      </c:catAx>
      <c:valAx>
        <c:axId val="1267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'Raw&amp;Processed Data'!$B$22</c:f>
              <c:strCache>
                <c:ptCount val="1"/>
                <c:pt idx="0">
                  <c:v> 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9D-4510-BC7F-564D759BE0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9D-4510-BC7F-564D759BE0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9D-4510-BC7F-564D759BE0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9D-4510-BC7F-564D759BE0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9D-4510-BC7F-564D759BE0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'Raw&amp;Processed Data'!$A$23:$A$27</c:f>
              <c:strCache>
                <c:ptCount val="5"/>
                <c:pt idx="0">
                  <c:v> Credit Card </c:v>
                </c:pt>
                <c:pt idx="1">
                  <c:v> UPI </c:v>
                </c:pt>
                <c:pt idx="2">
                  <c:v> Debit Card </c:v>
                </c:pt>
                <c:pt idx="3">
                  <c:v> Net Banking </c:v>
                </c:pt>
                <c:pt idx="4">
                  <c:v> Cash on Delivery </c:v>
                </c:pt>
              </c:strCache>
            </c:strRef>
          </c:cat>
          <c:val>
            <c:numRef>
              <c:f>'Raw&amp;Processed Data'!$B$23:$B$27</c:f>
              <c:numCache>
                <c:formatCode>_-[$$-409]* #,##0.00_ ;_-[$$-409]* \-#,##0.00\ ;_-[$$-409]* "-"??_ ;_-@_ </c:formatCode>
                <c:ptCount val="5"/>
                <c:pt idx="0">
                  <c:v>156017.96900000001</c:v>
                </c:pt>
                <c:pt idx="1">
                  <c:v>154684.91949999999</c:v>
                </c:pt>
                <c:pt idx="2">
                  <c:v>153362.1985</c:v>
                </c:pt>
                <c:pt idx="3">
                  <c:v>146804.41</c:v>
                </c:pt>
                <c:pt idx="4">
                  <c:v>146408.56899999999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9D-4510-BC7F-564D759BE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'Raw&amp;Processed Data'!$B$40</c:f>
              <c:strCache>
                <c:ptCount val="1"/>
                <c:pt idx="0">
                  <c:v> 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'Raw&amp;Processed Data'!$A$41:$A$51</c:f>
              <c:strCache>
                <c:ptCount val="11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</c:strCache>
            </c:strRef>
          </c:cat>
          <c:val>
            <c:numRef>
              <c:f>'Raw&amp;Processed Data'!$B$41:$B$51</c:f>
              <c:numCache>
                <c:formatCode>_-[$$-409]* #,##0.00_ ;_-[$$-409]* \-#,##0.00\ ;_-[$$-409]* "-"??_ ;_-@_ </c:formatCode>
                <c:ptCount val="11"/>
                <c:pt idx="0">
                  <c:v>69009.513500000001</c:v>
                </c:pt>
                <c:pt idx="1">
                  <c:v>69186.28</c:v>
                </c:pt>
                <c:pt idx="2">
                  <c:v>71325.365000000005</c:v>
                </c:pt>
                <c:pt idx="3">
                  <c:v>74365.19</c:v>
                </c:pt>
                <c:pt idx="4">
                  <c:v>68837.241999999998</c:v>
                </c:pt>
                <c:pt idx="5">
                  <c:v>64256.620499999997</c:v>
                </c:pt>
                <c:pt idx="6">
                  <c:v>72798.243000000002</c:v>
                </c:pt>
                <c:pt idx="7">
                  <c:v>71506.947499999995</c:v>
                </c:pt>
                <c:pt idx="8">
                  <c:v>68043.088000000003</c:v>
                </c:pt>
                <c:pt idx="9">
                  <c:v>76034.555999999997</c:v>
                </c:pt>
                <c:pt idx="10">
                  <c:v>51915.020499999999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7-4A79-8EE9-675A7EDEB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2520"/>
        <c:axId val="12674568"/>
      </c:lineChart>
      <c:catAx>
        <c:axId val="1267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568"/>
        <c:crosses val="autoZero"/>
        <c:auto val="1"/>
        <c:lblAlgn val="ctr"/>
        <c:lblOffset val="100"/>
        <c:noMultiLvlLbl val="0"/>
      </c:catAx>
      <c:valAx>
        <c:axId val="1267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'Raw&amp;Processed Data'!$B$5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'Raw&amp;Processed Data'!$A$6:$A$12</c:f>
              <c:strCache>
                <c:ptCount val="7"/>
                <c:pt idx="0">
                  <c:v> Clothing </c:v>
                </c:pt>
                <c:pt idx="1">
                  <c:v> Books </c:v>
                </c:pt>
                <c:pt idx="2">
                  <c:v> Home &amp; Kitchen </c:v>
                </c:pt>
                <c:pt idx="3">
                  <c:v> Sports </c:v>
                </c:pt>
                <c:pt idx="4">
                  <c:v> Toys </c:v>
                </c:pt>
                <c:pt idx="5">
                  <c:v> Beauty </c:v>
                </c:pt>
                <c:pt idx="6">
                  <c:v> Electronics </c:v>
                </c:pt>
              </c:strCache>
            </c:strRef>
          </c:cat>
          <c:val>
            <c:numRef>
              <c:f>'Raw&amp;Processed Data'!$B$6:$B$12</c:f>
              <c:numCache>
                <c:formatCode>_-[$$-409]* #,##0.00_ ;_-[$$-409]* \-#,##0.00\ ;_-[$$-409]* "-"??_ ;_-@_ </c:formatCode>
                <c:ptCount val="7"/>
                <c:pt idx="0">
                  <c:v>115314.7595</c:v>
                </c:pt>
                <c:pt idx="1">
                  <c:v>111149.2515</c:v>
                </c:pt>
                <c:pt idx="2">
                  <c:v>110328.178</c:v>
                </c:pt>
                <c:pt idx="3">
                  <c:v>108518.753</c:v>
                </c:pt>
                <c:pt idx="4">
                  <c:v>107289.84299999999</c:v>
                </c:pt>
                <c:pt idx="5">
                  <c:v>104215.07550000001</c:v>
                </c:pt>
                <c:pt idx="6">
                  <c:v>100462.2055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9-465A-903A-5DD5CB9A6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3794823"/>
        <c:axId val="2133797895"/>
      </c:barChart>
      <c:catAx>
        <c:axId val="2133794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97895"/>
        <c:crosses val="autoZero"/>
        <c:auto val="1"/>
        <c:lblAlgn val="ctr"/>
        <c:lblOffset val="100"/>
        <c:noMultiLvlLbl val="0"/>
      </c:catAx>
      <c:valAx>
        <c:axId val="213379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794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27</xdr:row>
      <xdr:rowOff>66675</xdr:rowOff>
    </xdr:from>
    <xdr:to>
      <xdr:col>1</xdr:col>
      <xdr:colOff>981075</xdr:colOff>
      <xdr:row>37</xdr:row>
      <xdr:rowOff>114300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Payment_Method">
              <a:extLst>
                <a:ext uri="{FF2B5EF4-FFF2-40B4-BE49-F238E27FC236}">
                  <a16:creationId xmlns:a16="http://schemas.microsoft.com/office/drawing/2014/main" id="{01748A58-0AD2-9FCF-45C2-9A804FBBC8EF}"/>
                </a:ext>
                <a:ext uri="{147F2762-F138-4A5C-976F-8EAC2B608ADB}">
                  <a16:predDERef xmlns:a16="http://schemas.microsoft.com/office/drawing/2014/main" pred="{AE8AE8C0-E6BF-4E8A-A481-E82855F38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" y="5200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304800</xdr:colOff>
      <xdr:row>21</xdr:row>
      <xdr:rowOff>142875</xdr:rowOff>
    </xdr:from>
    <xdr:to>
      <xdr:col>12</xdr:col>
      <xdr:colOff>0</xdr:colOff>
      <xdr:row>36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3A4E7E-5023-927F-8FAC-4F7D101D89AD}"/>
            </a:ext>
            <a:ext uri="{147F2762-F138-4A5C-976F-8EAC2B608ADB}">
              <a16:predDERef xmlns:a16="http://schemas.microsoft.com/office/drawing/2014/main" pred="{01748A58-0AD2-9FCF-45C2-9A804FBBC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3</xdr:row>
      <xdr:rowOff>66675</xdr:rowOff>
    </xdr:from>
    <xdr:to>
      <xdr:col>12</xdr:col>
      <xdr:colOff>314325</xdr:colOff>
      <xdr:row>17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0B1FC7-D558-8C3D-CB35-85DCD376DA07}"/>
            </a:ext>
            <a:ext uri="{147F2762-F138-4A5C-976F-8EAC2B608ADB}">
              <a16:predDERef xmlns:a16="http://schemas.microsoft.com/office/drawing/2014/main" pred="{1B3A4E7E-5023-927F-8FAC-4F7D101D8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38</xdr:row>
      <xdr:rowOff>161925</xdr:rowOff>
    </xdr:from>
    <xdr:to>
      <xdr:col>11</xdr:col>
      <xdr:colOff>342900</xdr:colOff>
      <xdr:row>53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317ABC-6C07-6489-ED49-C6A68FE321B4}"/>
            </a:ext>
            <a:ext uri="{147F2762-F138-4A5C-976F-8EAC2B608ADB}">
              <a16:predDERef xmlns:a16="http://schemas.microsoft.com/office/drawing/2014/main" pred="{030B1FC7-D558-8C3D-CB35-85DCD376D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43</xdr:row>
      <xdr:rowOff>76200</xdr:rowOff>
    </xdr:from>
    <xdr:to>
      <xdr:col>8</xdr:col>
      <xdr:colOff>457200</xdr:colOff>
      <xdr:row>56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3D745D-8AAA-4BE4-B2EB-6DB71284908B}"/>
            </a:ext>
            <a:ext uri="{147F2762-F138-4A5C-976F-8EAC2B608ADB}">
              <a16:predDERef xmlns:a16="http://schemas.microsoft.com/office/drawing/2014/main" pred="{F2865101-7340-481E-BBE4-F6D2C04B8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8</xdr:row>
      <xdr:rowOff>57150</xdr:rowOff>
    </xdr:from>
    <xdr:to>
      <xdr:col>9</xdr:col>
      <xdr:colOff>457200</xdr:colOff>
      <xdr:row>20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5E177C-97B9-4280-A5D3-221F672D7450}"/>
            </a:ext>
            <a:ext uri="{147F2762-F138-4A5C-976F-8EAC2B608ADB}">
              <a16:predDERef xmlns:a16="http://schemas.microsoft.com/office/drawing/2014/main" pred="{E03D745D-8AAA-4BE4-B2EB-6DB712849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171450</xdr:colOff>
      <xdr:row>24</xdr:row>
      <xdr:rowOff>66675</xdr:rowOff>
    </xdr:from>
    <xdr:to>
      <xdr:col>11</xdr:col>
      <xdr:colOff>371475</xdr:colOff>
      <xdr:row>38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81FF70-36C5-4192-B337-AB7AB57B5E9E}"/>
            </a:ext>
            <a:ext uri="{147F2762-F138-4A5C-976F-8EAC2B608ADB}">
              <a16:predDERef xmlns:a16="http://schemas.microsoft.com/office/drawing/2014/main" pred="{175E177C-97B9-4280-A5D3-221F672D7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.#RE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637091087963" createdVersion="8" refreshedVersion="8" minRefreshableVersion="3" recordCount="11" xr:uid="{DCA20DCB-06E6-42CE-B529-B3E1CF825153}">
  <cacheSource type="worksheet">
    <worksheetSource ref="A40:B51" sheet="Raw&amp;Processed Data"/>
  </cacheSource>
  <cacheFields count="2">
    <cacheField name="Month" numFmtId="165">
      <sharedItems count="11">
        <s v="January"/>
        <s v="February"/>
        <s v="March"/>
        <s v="April"/>
        <s v="May"/>
        <s v="June"/>
        <s v="July"/>
        <s v="August"/>
        <s v="September"/>
        <s v="October"/>
        <s v="November"/>
      </sharedItems>
    </cacheField>
    <cacheField name="Revenue" numFmtId="165">
      <sharedItems containsSemiMixedTypes="0" containsString="0" containsNumber="1" minValue="51915.020499999999" maxValue="76034.555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69009.513500000001"/>
  </r>
  <r>
    <x v="1"/>
    <n v="69186.28"/>
  </r>
  <r>
    <x v="2"/>
    <n v="71325.365000000005"/>
  </r>
  <r>
    <x v="3"/>
    <n v="74365.19"/>
  </r>
  <r>
    <x v="4"/>
    <n v="68837.241999999998"/>
  </r>
  <r>
    <x v="5"/>
    <n v="64256.620499999997"/>
  </r>
  <r>
    <x v="6"/>
    <n v="72798.243000000002"/>
  </r>
  <r>
    <x v="7"/>
    <n v="71506.947499999995"/>
  </r>
  <r>
    <x v="8"/>
    <n v="68043.088000000003"/>
  </r>
  <r>
    <x v="9"/>
    <n v="76034.555999999997"/>
  </r>
  <r>
    <x v="10"/>
    <n v="51915.0204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EA1E4-5F34-40E0-B650-1F8C49BB9946}" name="PivotTable1" cacheId="59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3:B65" firstHeaderRow="1" firstDataRow="1" firstDataCol="1"/>
  <pivotFields count="2"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compact="0" numFmtId="165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" fld="1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6EFD9-AB3C-4AA5-9B05-155B0F649C85}" name="PivotTable2" cacheId="59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9:C21" firstHeaderRow="1" firstDataRow="1" firstDataCol="1"/>
  <pivotFields count="2"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compact="0" numFmtId="165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" fld="1" baseField="0" baseItem="0" numFmtId="165"/>
  </dataFields>
  <formats count="15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7">
      <pivotArea dataOnly="0" labelOnly="1" outline="0" axis="axisValues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0" type="button" dataOnly="0" labelOnly="1" outline="0" axis="axisRow" fieldPosition="0"/>
    </format>
    <format dxfId="31">
      <pivotArea dataOnly="0" labelOnly="1" grandRow="1" outline="0" fieldPosition="0"/>
    </format>
    <format dxfId="32">
      <pivotArea dataOnly="0" labelOnly="1" outline="0" axis="axisValues" fieldPosition="0"/>
    </format>
    <format dxfId="33">
      <pivotArea outline="0" fieldPosition="0">
        <references count="1">
          <reference field="0" count="0" selected="0"/>
        </references>
      </pivotArea>
    </format>
    <format dxfId="34">
      <pivotArea dataOnly="0" labelOnly="1" outline="0" fieldPosition="0">
        <references count="1">
          <reference field="0" count="0"/>
        </references>
      </pivotArea>
    </format>
    <format dxfId="35">
      <pivotArea outline="0" fieldPosition="0">
        <references count="1">
          <reference field="0" count="0" selected="0"/>
        </references>
      </pivotArea>
    </format>
    <format dxfId="36">
      <pivotArea dataOnly="0" labelOnly="1" outline="0" fieldPosition="0">
        <references count="1">
          <reference field="0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EB353208-1556-4570-A64A-7E1EC43C2E70}" sourceName="Payment_Method">
  <extLst>
    <x:ext xmlns:x15="http://schemas.microsoft.com/office/spreadsheetml/2010/11/main" uri="{2F2917AC-EB37-4324-AD4E-5DD8C200BD13}">
      <x15:tableSlicerCache tableId="1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_Method" xr10:uid="{3CE1B6E8-B22C-422F-B9C8-A28B7DBE32D3}" cache="Slicer_Payment_Method" caption="Payment_Metho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11A9BF-6FBC-4C65-A112-FE2B228D80F9}" name="Table11" displayName="Table11" ref="A5:B12" totalsRowShown="0" headerRowDxfId="21" tableBorderDxfId="20">
  <autoFilter ref="A5:B12" xr:uid="{C811A9BF-6FBC-4C65-A112-FE2B228D80F9}"/>
  <tableColumns count="2">
    <tableColumn id="1" xr3:uid="{9DB7491C-3526-4D5C-A381-7D58C765D2CA}" name="Category" dataDxfId="19"/>
    <tableColumn id="2" xr3:uid="{7AA915D7-244E-4CCA-A153-3FDF7F28E4CA}" name="Revenu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47F95D-9D82-4FB3-B5DD-20ECAE6C6476}" name="Table12" displayName="Table12" ref="A22:B27" totalsRowShown="0" headerRowDxfId="17" tableBorderDxfId="16">
  <autoFilter ref="A22:B27" xr:uid="{9E47F95D-9D82-4FB3-B5DD-20ECAE6C6476}"/>
  <tableColumns count="2">
    <tableColumn id="1" xr3:uid="{B2E49782-B0C7-4D19-BA15-E68D23D84C90}" name="Payment_Method" dataDxfId="15"/>
    <tableColumn id="2" xr3:uid="{D5555D46-4C62-4B8A-8FC8-54857E1729C2}" name="Revenu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80959E-A8F7-4424-B25F-1E210B64D524}" name="Table37" displayName="Table37" ref="B26:C33" totalsRowShown="0" headerRowDxfId="13" dataDxfId="12" headerRowBorderDxfId="10" tableBorderDxfId="11" totalsRowBorderDxfId="9">
  <autoFilter ref="B26:C33" xr:uid="{1780959E-A8F7-4424-B25F-1E210B64D524}"/>
  <tableColumns count="2">
    <tableColumn id="1" xr3:uid="{09979F24-0D95-4D95-B5F0-371BCBB473F6}" name="Category" dataDxfId="8"/>
    <tableColumn id="2" xr3:uid="{27396730-5979-4693-BF67-78A87A7F6D93}" name="Revenue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1AC7C6-34F7-4437-A40D-52EB561663F0}" name="Table110" displayName="Table110" ref="B45:C50" totalsRowShown="0" headerRowDxfId="6" dataDxfId="5" headerRowBorderDxfId="3" tableBorderDxfId="4" totalsRowBorderDxfId="2">
  <autoFilter ref="B45:C50" xr:uid="{4D1AC7C6-34F7-4437-A40D-52EB561663F0}"/>
  <tableColumns count="2">
    <tableColumn id="1" xr3:uid="{C7D0C5CB-66E0-439D-A3A9-3164526564E6}" name="Payment_Method" dataDxfId="1"/>
    <tableColumn id="2" xr3:uid="{836F5B3A-9CD1-490D-8AC5-9D7E466E076C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D88B-81EA-4DC6-85C6-716B9094E4B5}">
  <dimension ref="A1:F65"/>
  <sheetViews>
    <sheetView topLeftCell="A53" workbookViewId="0">
      <selection activeCell="J3" sqref="J3"/>
    </sheetView>
  </sheetViews>
  <sheetFormatPr defaultRowHeight="15"/>
  <cols>
    <col min="1" max="1" width="13.5703125" customWidth="1"/>
    <col min="2" max="2" width="15.28515625" customWidth="1"/>
  </cols>
  <sheetData>
    <row r="1" spans="1:6" ht="18.75">
      <c r="A1" s="5" t="s">
        <v>0</v>
      </c>
      <c r="C1" s="7" t="s">
        <v>1</v>
      </c>
      <c r="F1" s="9" t="s">
        <v>2</v>
      </c>
    </row>
    <row r="2" spans="1:6" ht="15.75">
      <c r="A2" s="6">
        <v>757278.06599999999</v>
      </c>
      <c r="C2" s="8">
        <v>206.90657540983599</v>
      </c>
      <c r="F2" s="10">
        <v>3660</v>
      </c>
    </row>
    <row r="5" spans="1:6">
      <c r="A5" s="41" t="s">
        <v>3</v>
      </c>
      <c r="B5" s="42" t="s">
        <v>4</v>
      </c>
    </row>
    <row r="6" spans="1:6">
      <c r="A6" s="40" t="s">
        <v>5</v>
      </c>
      <c r="B6" s="36">
        <v>115314.7595</v>
      </c>
    </row>
    <row r="7" spans="1:6">
      <c r="A7" s="40" t="s">
        <v>6</v>
      </c>
      <c r="B7" s="36">
        <v>111149.2515</v>
      </c>
    </row>
    <row r="8" spans="1:6">
      <c r="A8" s="40" t="s">
        <v>7</v>
      </c>
      <c r="B8" s="36">
        <v>110328.178</v>
      </c>
    </row>
    <row r="9" spans="1:6">
      <c r="A9" s="40" t="s">
        <v>8</v>
      </c>
      <c r="B9" s="36">
        <v>108518.753</v>
      </c>
    </row>
    <row r="10" spans="1:6">
      <c r="A10" s="40" t="s">
        <v>9</v>
      </c>
      <c r="B10" s="36">
        <v>107289.84299999999</v>
      </c>
    </row>
    <row r="11" spans="1:6">
      <c r="A11" s="40" t="s">
        <v>10</v>
      </c>
      <c r="B11" s="36">
        <v>104215.07550000001</v>
      </c>
    </row>
    <row r="12" spans="1:6">
      <c r="A12" s="40" t="s">
        <v>11</v>
      </c>
      <c r="B12" s="36">
        <v>100462.2055</v>
      </c>
    </row>
    <row r="22" spans="1:2">
      <c r="A22" s="43" t="s">
        <v>12</v>
      </c>
      <c r="B22" s="39" t="s">
        <v>4</v>
      </c>
    </row>
    <row r="23" spans="1:2">
      <c r="A23" s="40" t="s">
        <v>13</v>
      </c>
      <c r="B23" s="36">
        <v>156017.96900000001</v>
      </c>
    </row>
    <row r="24" spans="1:2">
      <c r="A24" s="40" t="s">
        <v>14</v>
      </c>
      <c r="B24" s="36">
        <v>154684.91949999999</v>
      </c>
    </row>
    <row r="25" spans="1:2">
      <c r="A25" s="40" t="s">
        <v>15</v>
      </c>
      <c r="B25" s="36">
        <v>153362.1985</v>
      </c>
    </row>
    <row r="26" spans="1:2">
      <c r="A26" s="40" t="s">
        <v>16</v>
      </c>
      <c r="B26" s="36">
        <v>146804.41</v>
      </c>
    </row>
    <row r="27" spans="1:2">
      <c r="A27" s="40" t="s">
        <v>17</v>
      </c>
      <c r="B27" s="36">
        <v>146408.56899999999</v>
      </c>
    </row>
    <row r="40" spans="1:2">
      <c r="A40" s="34" t="s">
        <v>18</v>
      </c>
      <c r="B40" s="35" t="s">
        <v>4</v>
      </c>
    </row>
    <row r="41" spans="1:2">
      <c r="A41" s="36" t="s">
        <v>19</v>
      </c>
      <c r="B41" s="37">
        <v>69009.513500000001</v>
      </c>
    </row>
    <row r="42" spans="1:2">
      <c r="A42" s="36" t="s">
        <v>20</v>
      </c>
      <c r="B42" s="37">
        <v>69186.28</v>
      </c>
    </row>
    <row r="43" spans="1:2">
      <c r="A43" s="36" t="s">
        <v>21</v>
      </c>
      <c r="B43" s="37">
        <v>71325.365000000005</v>
      </c>
    </row>
    <row r="44" spans="1:2">
      <c r="A44" s="36" t="s">
        <v>22</v>
      </c>
      <c r="B44" s="37">
        <v>74365.19</v>
      </c>
    </row>
    <row r="45" spans="1:2">
      <c r="A45" s="36" t="s">
        <v>23</v>
      </c>
      <c r="B45" s="37">
        <v>68837.241999999998</v>
      </c>
    </row>
    <row r="46" spans="1:2">
      <c r="A46" s="36" t="s">
        <v>24</v>
      </c>
      <c r="B46" s="37">
        <v>64256.620499999997</v>
      </c>
    </row>
    <row r="47" spans="1:2">
      <c r="A47" s="36" t="s">
        <v>25</v>
      </c>
      <c r="B47" s="37">
        <v>72798.243000000002</v>
      </c>
    </row>
    <row r="48" spans="1:2">
      <c r="A48" s="36" t="s">
        <v>26</v>
      </c>
      <c r="B48" s="37">
        <v>71506.947499999995</v>
      </c>
    </row>
    <row r="49" spans="1:2">
      <c r="A49" s="36" t="s">
        <v>27</v>
      </c>
      <c r="B49" s="37">
        <v>68043.088000000003</v>
      </c>
    </row>
    <row r="50" spans="1:2">
      <c r="A50" s="36" t="s">
        <v>28</v>
      </c>
      <c r="B50" s="37">
        <v>76034.555999999997</v>
      </c>
    </row>
    <row r="51" spans="1:2">
      <c r="A51" s="38" t="s">
        <v>29</v>
      </c>
      <c r="B51" s="25">
        <v>51915.020499999999</v>
      </c>
    </row>
    <row r="53" spans="1:2">
      <c r="A53" s="33" t="s">
        <v>18</v>
      </c>
      <c r="B53" t="s">
        <v>30</v>
      </c>
    </row>
    <row r="54" spans="1:2">
      <c r="A54" t="s">
        <v>19</v>
      </c>
      <c r="B54" s="32">
        <v>69009.513500000001</v>
      </c>
    </row>
    <row r="55" spans="1:2">
      <c r="A55" t="s">
        <v>20</v>
      </c>
      <c r="B55" s="32">
        <v>69186.28</v>
      </c>
    </row>
    <row r="56" spans="1:2">
      <c r="A56" t="s">
        <v>21</v>
      </c>
      <c r="B56" s="32">
        <v>71325.365000000005</v>
      </c>
    </row>
    <row r="57" spans="1:2">
      <c r="A57" t="s">
        <v>22</v>
      </c>
      <c r="B57" s="32">
        <v>74365.19</v>
      </c>
    </row>
    <row r="58" spans="1:2">
      <c r="A58" t="s">
        <v>23</v>
      </c>
      <c r="B58" s="32">
        <v>68837.241999999998</v>
      </c>
    </row>
    <row r="59" spans="1:2">
      <c r="A59" t="s">
        <v>24</v>
      </c>
      <c r="B59" s="32">
        <v>64256.620499999997</v>
      </c>
    </row>
    <row r="60" spans="1:2">
      <c r="A60" t="s">
        <v>25</v>
      </c>
      <c r="B60" s="32">
        <v>72798.243000000002</v>
      </c>
    </row>
    <row r="61" spans="1:2">
      <c r="A61" t="s">
        <v>26</v>
      </c>
      <c r="B61" s="32">
        <v>71506.947499999995</v>
      </c>
    </row>
    <row r="62" spans="1:2">
      <c r="A62" t="s">
        <v>27</v>
      </c>
      <c r="B62" s="32">
        <v>68043.088000000003</v>
      </c>
    </row>
    <row r="63" spans="1:2">
      <c r="A63" t="s">
        <v>28</v>
      </c>
      <c r="B63" s="32">
        <v>76034.555999999997</v>
      </c>
    </row>
    <row r="64" spans="1:2">
      <c r="A64" t="s">
        <v>29</v>
      </c>
      <c r="B64" s="32">
        <v>51915.020499999999</v>
      </c>
    </row>
    <row r="65" spans="1:2">
      <c r="A65" t="s">
        <v>31</v>
      </c>
      <c r="B65" s="32">
        <v>757278.06599999999</v>
      </c>
    </row>
  </sheetData>
  <pageMargins left="0.7" right="0.7" top="0.75" bottom="0.75" header="0.3" footer="0.3"/>
  <drawing r:id="rId2"/>
  <tableParts count="2"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3F89-AF6A-46B3-83F6-1B2840751477}">
  <sheetPr>
    <pageSetUpPr fitToPage="1"/>
  </sheetPr>
  <dimension ref="A1:JF57"/>
  <sheetViews>
    <sheetView showGridLines="0" showRowColHeaders="0" tabSelected="1" topLeftCell="A22" workbookViewId="0">
      <selection activeCell="O24" sqref="O24"/>
    </sheetView>
  </sheetViews>
  <sheetFormatPr defaultRowHeight="15"/>
  <cols>
    <col min="2" max="2" width="20.140625" customWidth="1"/>
    <col min="3" max="3" width="12.140625" customWidth="1"/>
    <col min="4" max="4" width="16.7109375" customWidth="1"/>
    <col min="5" max="5" width="7.42578125" customWidth="1"/>
    <col min="6" max="6" width="28.85546875" customWidth="1"/>
  </cols>
  <sheetData>
    <row r="1" spans="1:266" ht="31.5">
      <c r="A1" s="31"/>
      <c r="B1" s="44" t="s">
        <v>32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266"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</row>
    <row r="3" spans="1:266" s="17" customFormat="1" ht="23.25">
      <c r="B3" s="19" t="s">
        <v>0</v>
      </c>
      <c r="C3" s="18"/>
      <c r="D3" s="21" t="s">
        <v>2</v>
      </c>
      <c r="E3" s="18"/>
      <c r="F3" s="23" t="s">
        <v>1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F3" s="18"/>
    </row>
    <row r="4" spans="1:266" s="15" customFormat="1" ht="23.25">
      <c r="B4" s="20">
        <v>757278.06599999999</v>
      </c>
      <c r="C4" s="18"/>
      <c r="D4" s="22">
        <v>3660</v>
      </c>
      <c r="F4" s="24">
        <v>206.90657540983599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7" spans="1:266" ht="18.75">
      <c r="B7" s="27" t="s">
        <v>33</v>
      </c>
    </row>
    <row r="8" spans="1:266" ht="23.25">
      <c r="C8" s="15"/>
    </row>
    <row r="9" spans="1:266">
      <c r="B9" s="45" t="s">
        <v>18</v>
      </c>
      <c r="C9" s="46" t="s">
        <v>30</v>
      </c>
      <c r="E9" s="26"/>
      <c r="F9" s="26"/>
      <c r="G9" s="26"/>
      <c r="H9" s="26"/>
      <c r="I9" s="26"/>
      <c r="J9" s="26"/>
    </row>
    <row r="10" spans="1:266" ht="15.75">
      <c r="B10" s="49" t="s">
        <v>19</v>
      </c>
      <c r="C10" s="50">
        <v>69009.513500000001</v>
      </c>
      <c r="E10" s="26"/>
      <c r="F10" s="26"/>
      <c r="G10" s="26"/>
      <c r="H10" s="26"/>
      <c r="I10" s="26"/>
      <c r="J10" s="26"/>
    </row>
    <row r="11" spans="1:266" ht="15.75">
      <c r="B11" s="49" t="s">
        <v>20</v>
      </c>
      <c r="C11" s="50">
        <v>69186.28</v>
      </c>
      <c r="E11" s="26"/>
      <c r="F11" s="26"/>
      <c r="G11" s="26"/>
      <c r="H11" s="26"/>
      <c r="I11" s="26"/>
      <c r="J11" s="26"/>
    </row>
    <row r="12" spans="1:266" ht="15.75">
      <c r="B12" s="49" t="s">
        <v>21</v>
      </c>
      <c r="C12" s="50">
        <v>71325.365000000005</v>
      </c>
      <c r="E12" s="26"/>
      <c r="F12" s="26"/>
      <c r="G12" s="26"/>
      <c r="H12" s="26"/>
      <c r="I12" s="26"/>
      <c r="J12" s="26"/>
    </row>
    <row r="13" spans="1:266" ht="15.75">
      <c r="B13" s="49" t="s">
        <v>22</v>
      </c>
      <c r="C13" s="50">
        <v>74365.19</v>
      </c>
      <c r="E13" s="26"/>
      <c r="F13" s="26"/>
      <c r="G13" s="26"/>
      <c r="H13" s="26"/>
      <c r="I13" s="26"/>
      <c r="J13" s="26"/>
    </row>
    <row r="14" spans="1:266" ht="15.75">
      <c r="B14" s="49" t="s">
        <v>23</v>
      </c>
      <c r="C14" s="50">
        <v>68837.241999999998</v>
      </c>
      <c r="E14" s="26"/>
      <c r="F14" s="26"/>
      <c r="G14" s="26"/>
      <c r="H14" s="26"/>
      <c r="I14" s="26"/>
      <c r="J14" s="26"/>
    </row>
    <row r="15" spans="1:266" ht="15.75">
      <c r="B15" s="49" t="s">
        <v>24</v>
      </c>
      <c r="C15" s="50">
        <v>64256.620499999997</v>
      </c>
      <c r="E15" s="26"/>
      <c r="F15" s="26"/>
      <c r="G15" s="26"/>
      <c r="H15" s="26"/>
      <c r="I15" s="26"/>
      <c r="J15" s="26"/>
    </row>
    <row r="16" spans="1:266" ht="15.75">
      <c r="B16" s="49" t="s">
        <v>25</v>
      </c>
      <c r="C16" s="50">
        <v>72798.243000000002</v>
      </c>
      <c r="E16" s="26"/>
      <c r="F16" s="26"/>
      <c r="G16" s="26"/>
      <c r="H16" s="26"/>
      <c r="I16" s="26"/>
      <c r="J16" s="26"/>
    </row>
    <row r="17" spans="2:12" ht="15.75">
      <c r="B17" s="49" t="s">
        <v>26</v>
      </c>
      <c r="C17" s="50">
        <v>71506.947499999995</v>
      </c>
      <c r="E17" s="26"/>
      <c r="F17" s="26"/>
      <c r="G17" s="26"/>
      <c r="H17" s="26"/>
      <c r="I17" s="26"/>
      <c r="J17" s="26"/>
    </row>
    <row r="18" spans="2:12" ht="15.75">
      <c r="B18" s="49" t="s">
        <v>27</v>
      </c>
      <c r="C18" s="50">
        <v>68043.088000000003</v>
      </c>
      <c r="E18" s="26"/>
      <c r="F18" s="26"/>
      <c r="G18" s="26"/>
      <c r="H18" s="26"/>
      <c r="I18" s="26"/>
      <c r="J18" s="26"/>
    </row>
    <row r="19" spans="2:12" ht="15.75">
      <c r="B19" s="49" t="s">
        <v>28</v>
      </c>
      <c r="C19" s="50">
        <v>76034.555999999997</v>
      </c>
      <c r="E19" s="26"/>
      <c r="F19" s="26"/>
      <c r="G19" s="26"/>
      <c r="H19" s="26"/>
      <c r="I19" s="26"/>
      <c r="J19" s="26"/>
    </row>
    <row r="20" spans="2:12" ht="15.75">
      <c r="B20" s="49" t="s">
        <v>29</v>
      </c>
      <c r="C20" s="50">
        <v>51915.020499999999</v>
      </c>
      <c r="E20" s="26"/>
      <c r="F20" s="26"/>
      <c r="G20" s="26"/>
      <c r="H20" s="26"/>
      <c r="I20" s="26"/>
      <c r="J20" s="26"/>
    </row>
    <row r="21" spans="2:12">
      <c r="B21" s="47" t="s">
        <v>31</v>
      </c>
      <c r="C21" s="48">
        <v>757278.06599999999</v>
      </c>
      <c r="E21" s="26"/>
      <c r="F21" s="26"/>
      <c r="G21" s="26"/>
      <c r="H21" s="26"/>
      <c r="I21" s="26"/>
      <c r="J21" s="26"/>
    </row>
    <row r="23" spans="2:12" ht="18.75">
      <c r="B23" s="28"/>
    </row>
    <row r="24" spans="2:12" ht="37.5">
      <c r="B24" s="29" t="s">
        <v>34</v>
      </c>
    </row>
    <row r="25" spans="2:12">
      <c r="E25" s="26"/>
      <c r="F25" s="26"/>
      <c r="G25" s="26"/>
      <c r="H25" s="26"/>
      <c r="I25" s="26"/>
      <c r="J25" s="26"/>
      <c r="K25" s="26"/>
      <c r="L25" s="26"/>
    </row>
    <row r="26" spans="2:12">
      <c r="B26" s="3" t="s">
        <v>3</v>
      </c>
      <c r="C26" s="4" t="s">
        <v>4</v>
      </c>
      <c r="E26" s="26"/>
      <c r="F26" s="26"/>
      <c r="G26" s="26"/>
      <c r="H26" s="26"/>
      <c r="I26" s="26"/>
      <c r="J26" s="26"/>
      <c r="K26" s="26"/>
      <c r="L26" s="26"/>
    </row>
    <row r="27" spans="2:12">
      <c r="B27" s="11" t="s">
        <v>5</v>
      </c>
      <c r="C27" s="12">
        <v>115314.7595</v>
      </c>
      <c r="E27" s="26"/>
      <c r="F27" s="26"/>
      <c r="G27" s="26"/>
      <c r="H27" s="26"/>
      <c r="I27" s="26"/>
      <c r="J27" s="26"/>
      <c r="K27" s="26"/>
      <c r="L27" s="26"/>
    </row>
    <row r="28" spans="2:12">
      <c r="B28" s="11" t="s">
        <v>6</v>
      </c>
      <c r="C28" s="12">
        <v>111149.2515</v>
      </c>
      <c r="E28" s="26"/>
      <c r="F28" s="26"/>
      <c r="G28" s="26"/>
      <c r="H28" s="26"/>
      <c r="I28" s="26"/>
      <c r="J28" s="26"/>
      <c r="K28" s="26"/>
      <c r="L28" s="26"/>
    </row>
    <row r="29" spans="2:12">
      <c r="B29" s="11" t="s">
        <v>7</v>
      </c>
      <c r="C29" s="12">
        <v>110328.178</v>
      </c>
      <c r="E29" s="26"/>
      <c r="F29" s="26"/>
      <c r="G29" s="26"/>
      <c r="H29" s="26"/>
      <c r="I29" s="26"/>
      <c r="J29" s="26"/>
      <c r="K29" s="26"/>
      <c r="L29" s="26"/>
    </row>
    <row r="30" spans="2:12">
      <c r="B30" s="11" t="s">
        <v>8</v>
      </c>
      <c r="C30" s="12">
        <v>108518.753</v>
      </c>
      <c r="E30" s="26"/>
      <c r="F30" s="26"/>
      <c r="G30" s="26"/>
      <c r="H30" s="26"/>
      <c r="I30" s="26"/>
      <c r="J30" s="26"/>
      <c r="K30" s="26"/>
      <c r="L30" s="26"/>
    </row>
    <row r="31" spans="2:12">
      <c r="B31" s="11" t="s">
        <v>9</v>
      </c>
      <c r="C31" s="12">
        <v>107289.84299999999</v>
      </c>
      <c r="E31" s="26"/>
      <c r="F31" s="26"/>
      <c r="G31" s="26"/>
      <c r="H31" s="26"/>
      <c r="I31" s="26"/>
      <c r="J31" s="26"/>
      <c r="K31" s="26"/>
      <c r="L31" s="26"/>
    </row>
    <row r="32" spans="2:12">
      <c r="B32" s="11" t="s">
        <v>10</v>
      </c>
      <c r="C32" s="12">
        <v>104215.07550000001</v>
      </c>
      <c r="E32" s="26"/>
      <c r="F32" s="26"/>
      <c r="G32" s="26"/>
      <c r="H32" s="26"/>
      <c r="I32" s="26"/>
      <c r="J32" s="26"/>
      <c r="K32" s="26"/>
      <c r="L32" s="26"/>
    </row>
    <row r="33" spans="2:12">
      <c r="B33" s="13" t="s">
        <v>11</v>
      </c>
      <c r="C33" s="14">
        <v>100462.2055</v>
      </c>
      <c r="E33" s="26"/>
      <c r="F33" s="26"/>
      <c r="G33" s="26"/>
      <c r="H33" s="26"/>
      <c r="I33" s="26"/>
      <c r="J33" s="26"/>
      <c r="K33" s="26"/>
      <c r="L33" s="26"/>
    </row>
    <row r="34" spans="2:12">
      <c r="E34" s="26"/>
      <c r="F34" s="26"/>
      <c r="G34" s="26"/>
      <c r="H34" s="26"/>
      <c r="I34" s="26"/>
      <c r="J34" s="26"/>
      <c r="K34" s="26"/>
      <c r="L34" s="26"/>
    </row>
    <row r="35" spans="2:12">
      <c r="E35" s="26"/>
      <c r="F35" s="26"/>
      <c r="G35" s="26"/>
      <c r="H35" s="26"/>
      <c r="I35" s="26"/>
      <c r="J35" s="26"/>
      <c r="K35" s="26"/>
      <c r="L35" s="26"/>
    </row>
    <row r="36" spans="2:12">
      <c r="E36" s="26"/>
      <c r="F36" s="26"/>
      <c r="G36" s="26"/>
      <c r="H36" s="26"/>
      <c r="I36" s="26"/>
      <c r="J36" s="26"/>
      <c r="K36" s="26"/>
      <c r="L36" s="26"/>
    </row>
    <row r="37" spans="2:12">
      <c r="E37" s="26"/>
      <c r="F37" s="26"/>
      <c r="G37" s="26"/>
      <c r="H37" s="26"/>
      <c r="I37" s="26"/>
      <c r="J37" s="26"/>
      <c r="K37" s="26"/>
      <c r="L37" s="26"/>
    </row>
    <row r="38" spans="2:12">
      <c r="E38" s="26"/>
      <c r="F38" s="26"/>
      <c r="G38" s="26"/>
      <c r="H38" s="26"/>
      <c r="I38" s="26"/>
      <c r="J38" s="26"/>
      <c r="K38" s="26"/>
      <c r="L38" s="26"/>
    </row>
    <row r="39" spans="2:12">
      <c r="E39" s="26"/>
      <c r="F39" s="26"/>
      <c r="G39" s="26"/>
      <c r="H39" s="26"/>
      <c r="I39" s="26"/>
      <c r="J39" s="26"/>
      <c r="K39" s="26"/>
      <c r="L39" s="26"/>
    </row>
    <row r="43" spans="2:12" ht="37.5">
      <c r="B43" s="29" t="s">
        <v>35</v>
      </c>
    </row>
    <row r="44" spans="2:12">
      <c r="E44" s="26"/>
      <c r="F44" s="26"/>
      <c r="G44" s="26"/>
      <c r="H44" s="26"/>
      <c r="I44" s="26"/>
    </row>
    <row r="45" spans="2:12">
      <c r="B45" s="1" t="s">
        <v>12</v>
      </c>
      <c r="C45" s="2" t="s">
        <v>4</v>
      </c>
      <c r="E45" s="26"/>
      <c r="F45" s="26"/>
      <c r="G45" s="26"/>
      <c r="H45" s="26"/>
      <c r="I45" s="26"/>
    </row>
    <row r="46" spans="2:12">
      <c r="B46" s="11" t="s">
        <v>13</v>
      </c>
      <c r="C46" s="12">
        <v>156017.96900000001</v>
      </c>
      <c r="E46" s="26"/>
      <c r="F46" s="26"/>
      <c r="G46" s="26"/>
      <c r="H46" s="26"/>
      <c r="I46" s="26"/>
    </row>
    <row r="47" spans="2:12">
      <c r="B47" s="11" t="s">
        <v>14</v>
      </c>
      <c r="C47" s="12">
        <v>154684.91949999999</v>
      </c>
      <c r="E47" s="26"/>
      <c r="F47" s="26"/>
      <c r="G47" s="26"/>
      <c r="H47" s="26"/>
      <c r="I47" s="26"/>
    </row>
    <row r="48" spans="2:12">
      <c r="B48" s="11" t="s">
        <v>15</v>
      </c>
      <c r="C48" s="12">
        <v>153362.1985</v>
      </c>
      <c r="E48" s="26"/>
      <c r="F48" s="26"/>
      <c r="G48" s="26"/>
      <c r="H48" s="26"/>
      <c r="I48" s="26"/>
    </row>
    <row r="49" spans="2:9">
      <c r="B49" s="11" t="s">
        <v>16</v>
      </c>
      <c r="C49" s="12">
        <v>146804.41</v>
      </c>
      <c r="E49" s="26"/>
      <c r="F49" s="26"/>
      <c r="G49" s="26"/>
      <c r="H49" s="26"/>
      <c r="I49" s="26"/>
    </row>
    <row r="50" spans="2:9">
      <c r="B50" s="13" t="s">
        <v>17</v>
      </c>
      <c r="C50" s="14">
        <v>146408.56899999999</v>
      </c>
      <c r="E50" s="26"/>
      <c r="F50" s="26"/>
      <c r="G50" s="26"/>
      <c r="H50" s="26"/>
      <c r="I50" s="26"/>
    </row>
    <row r="51" spans="2:9">
      <c r="E51" s="26"/>
      <c r="F51" s="26"/>
      <c r="G51" s="26"/>
      <c r="H51" s="26"/>
      <c r="I51" s="26"/>
    </row>
    <row r="52" spans="2:9">
      <c r="E52" s="26"/>
      <c r="F52" s="26"/>
      <c r="G52" s="26"/>
      <c r="H52" s="26"/>
      <c r="I52" s="26"/>
    </row>
    <row r="53" spans="2:9">
      <c r="E53" s="26"/>
      <c r="F53" s="26"/>
      <c r="G53" s="26"/>
      <c r="H53" s="26"/>
      <c r="I53" s="26"/>
    </row>
    <row r="54" spans="2:9">
      <c r="E54" s="26"/>
      <c r="F54" s="26"/>
      <c r="G54" s="26"/>
      <c r="H54" s="26"/>
      <c r="I54" s="26"/>
    </row>
    <row r="55" spans="2:9">
      <c r="E55" s="26"/>
      <c r="F55" s="26"/>
      <c r="G55" s="26"/>
      <c r="H55" s="26"/>
      <c r="I55" s="26"/>
    </row>
    <row r="56" spans="2:9">
      <c r="E56" s="26"/>
      <c r="F56" s="26"/>
      <c r="G56" s="26"/>
      <c r="H56" s="26"/>
      <c r="I56" s="26"/>
    </row>
    <row r="57" spans="2:9">
      <c r="E57" s="26"/>
      <c r="F57" s="26"/>
      <c r="G57" s="26"/>
      <c r="H57" s="26"/>
      <c r="I57" s="26"/>
    </row>
  </sheetData>
  <mergeCells count="1">
    <mergeCell ref="B1:M1"/>
  </mergeCells>
  <pageMargins left="0.7" right="0.7" top="0.75" bottom="0.75" header="0.3" footer="0.3"/>
  <pageSetup paperSize="9" fitToWidth="0" orientation="landscape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Aaradhya R</cp:lastModifiedBy>
  <cp:revision/>
  <dcterms:created xsi:type="dcterms:W3CDTF">2026-03-24T19:48:36Z</dcterms:created>
  <dcterms:modified xsi:type="dcterms:W3CDTF">2026-03-25T10:01:23Z</dcterms:modified>
  <cp:category/>
  <cp:contentStatus/>
</cp:coreProperties>
</file>